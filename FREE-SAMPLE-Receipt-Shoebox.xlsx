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ECEIPT-LOG" sheetId="3" state="visible" r:id="rId3"/>
    <sheet xmlns:r="http://schemas.openxmlformats.org/officeDocument/2006/relationships" name="QUARTER-SUMMARY" sheetId="4" state="visible" r:id="rId4"/>
    <sheet xmlns:r="http://schemas.openxmlformats.org/officeDocument/2006/relationships" name="YEAR-DASHBOARD" sheetId="5" state="visible" r:id="rId5"/>
  </sheets>
  <definedNames>
    <definedName name="_xlnm._FilterDatabase" localSheetId="2" hidden="1">'RECEIPT-LOG'!$A$1:$J$201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DFF0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164" fontId="0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1" fontId="0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rightToLeft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Receipt Shoebox — Expense Capture Kit</t>
        </is>
      </c>
    </row>
    <row r="2" ht="32" customHeight="1">
      <c r="A2" s="2" t="inlineStr">
        <is>
          <t>Capture receipts as they arrive, then see each quarter's totals in one place. Everything stays on your device — no cloud, no subscription, no uploads.</t>
        </is>
      </c>
    </row>
    <row r="4">
      <c r="A4" s="3" t="inlineStr">
        <is>
          <t>How to use</t>
        </is>
      </c>
    </row>
    <row r="5" ht="30" customHeight="1">
      <c r="A5" s="2" t="inlineStr">
        <is>
          <t>Set the year on the QUARTER-SUMMARY sheet (cell B1).</t>
        </is>
      </c>
    </row>
    <row r="6" ht="30" customHeight="1">
      <c r="A6" s="2" t="inlineStr">
        <is>
          <t>Add each receipt to the RECEIPT-LOG: date, vendor, category, amount, tax, payment method, and the photo/file name.</t>
        </is>
      </c>
    </row>
    <row r="7" ht="30" customHeight="1">
      <c r="A7" s="2" t="inlineStr">
        <is>
          <t>Keep the photo in one folder; write its file name in the Receipt File column so you can find it later.</t>
        </is>
      </c>
    </row>
    <row r="8" ht="30" customHeight="1">
      <c r="A8" s="2" t="inlineStr">
        <is>
          <t>Check QUARTER-SUMMARY and YEAR-DASHBOARD — totals update automatically.</t>
        </is>
      </c>
    </row>
    <row r="9" ht="30" customHeight="1">
      <c r="A9" s="2" t="inlineStr">
        <is>
          <t>At quarter end, filter the log by date and export/print it for your records or your accountant.</t>
        </is>
      </c>
    </row>
    <row r="11" ht="30" customHeight="1">
      <c r="A11" s="2" t="inlineStr">
        <is>
          <t>Privacy: this workbook never uploads anything. Your receipts and file names stay on your own device.</t>
        </is>
      </c>
    </row>
    <row r="12" ht="30" customHeight="1">
      <c r="A12" s="2" t="inlineStr">
        <is>
          <t>One currency per workbook. If you pay in several currencies, convert to your main currency before entering the amount.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rightToLeft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4" t="inlineStr">
        <is>
          <t>Category</t>
        </is>
      </c>
      <c r="B1" s="4" t="inlineStr">
        <is>
          <t>Description</t>
        </is>
      </c>
    </row>
    <row r="2">
      <c r="A2" t="inlineStr">
        <is>
          <t>Office Supplies</t>
        </is>
      </c>
      <c r="B2" t="inlineStr">
        <is>
          <t>paper, pens, printer ink</t>
        </is>
      </c>
    </row>
    <row r="3">
      <c r="A3" t="inlineStr">
        <is>
          <t>Software &amp; Subscriptions</t>
        </is>
      </c>
      <c r="B3" t="inlineStr">
        <is>
          <t>apps, cloud tools, licences</t>
        </is>
      </c>
    </row>
    <row r="4">
      <c r="A4" t="inlineStr">
        <is>
          <t>Travel &amp; Transport</t>
        </is>
      </c>
      <c r="B4" t="inlineStr">
        <is>
          <t>taxi, fuel, train, flights</t>
        </is>
      </c>
    </row>
    <row r="5">
      <c r="A5" t="inlineStr">
        <is>
          <t>Meals &amp; Client Meetings</t>
        </is>
      </c>
      <c r="B5" t="inlineStr">
        <is>
          <t>coffee, lunch with a client</t>
        </is>
      </c>
    </row>
    <row r="6">
      <c r="A6" t="inlineStr">
        <is>
          <t>Equipment &amp; Hardware</t>
        </is>
      </c>
      <c r="B6" t="inlineStr">
        <is>
          <t>laptop, monitor, cables</t>
        </is>
      </c>
    </row>
    <row r="7">
      <c r="A7" t="inlineStr">
        <is>
          <t>Phone &amp; Internet</t>
        </is>
      </c>
      <c r="B7" t="inlineStr">
        <is>
          <t>mobile bill, broadband</t>
        </is>
      </c>
    </row>
    <row r="8">
      <c r="A8" t="inlineStr">
        <is>
          <t>Professional Services</t>
        </is>
      </c>
      <c r="B8" t="inlineStr">
        <is>
          <t>accountant, lawyer, consultant</t>
        </is>
      </c>
    </row>
    <row r="9">
      <c r="A9" t="inlineStr">
        <is>
          <t>Marketing &amp; Advertising</t>
        </is>
      </c>
      <c r="B9" t="inlineStr">
        <is>
          <t>ads, flyers, domain</t>
        </is>
      </c>
    </row>
    <row r="10">
      <c r="A10" t="inlineStr">
        <is>
          <t>Education &amp; Training</t>
        </is>
      </c>
      <c r="B10" t="inlineStr">
        <is>
          <t>course, book, workshop</t>
        </is>
      </c>
    </row>
    <row r="11">
      <c r="A11" t="inlineStr">
        <is>
          <t>Other</t>
        </is>
      </c>
      <c r="B11" t="inlineStr">
        <is>
          <t>anything that fits no other category</t>
        </is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0" customWidth="1" min="4" max="4"/>
    <col width="12" customWidth="1" min="5" max="5"/>
    <col width="12" customWidth="1" min="6" max="6"/>
    <col width="17" customWidth="1" min="7" max="7"/>
    <col width="20" customWidth="1" min="8" max="8"/>
    <col width="26" customWidth="1" min="9" max="9"/>
    <col width="24" customWidth="1" min="10" max="10"/>
  </cols>
  <sheetData>
    <row r="1">
      <c r="A1" s="5" t="inlineStr">
        <is>
          <t>Date</t>
        </is>
      </c>
      <c r="B1" s="5" t="inlineStr">
        <is>
          <t>Vendor</t>
        </is>
      </c>
      <c r="C1" s="5" t="inlineStr">
        <is>
          <t>Category</t>
        </is>
      </c>
      <c r="D1" s="5" t="inlineStr">
        <is>
          <t>Description</t>
        </is>
      </c>
      <c r="E1" s="5" t="inlineStr">
        <is>
          <t>Amount</t>
        </is>
      </c>
      <c r="F1" s="5" t="inlineStr">
        <is>
          <t>Tax</t>
        </is>
      </c>
      <c r="G1" s="5" t="inlineStr">
        <is>
          <t>Payment Method</t>
        </is>
      </c>
      <c r="H1" s="5" t="inlineStr">
        <is>
          <t>Client / Project</t>
        </is>
      </c>
      <c r="I1" s="5" t="inlineStr">
        <is>
          <t>Receipt File</t>
        </is>
      </c>
      <c r="J1" s="5" t="inlineStr">
        <is>
          <t>Notes</t>
        </is>
      </c>
    </row>
    <row r="2">
      <c r="A2" s="6" t="n">
        <v>46205</v>
      </c>
      <c r="B2" t="inlineStr">
        <is>
          <t>City Office Store</t>
        </is>
      </c>
      <c r="C2" t="inlineStr">
        <is>
          <t>Office Supplies</t>
        </is>
      </c>
      <c r="D2" t="inlineStr">
        <is>
          <t>Printer paper + pens</t>
        </is>
      </c>
      <c r="E2" s="7" t="n">
        <v>24.5</v>
      </c>
      <c r="F2" s="7" t="n">
        <v>2.04</v>
      </c>
      <c r="G2" t="inlineStr">
        <is>
          <t>Card</t>
        </is>
      </c>
      <c r="H2" t="inlineStr">
        <is>
          <t>General</t>
        </is>
      </c>
      <c r="I2" t="inlineStr">
        <is>
          <t>2026-07-02_city-office-store.jpg</t>
        </is>
      </c>
      <c r="J2" t="inlineStr"/>
    </row>
    <row r="3">
      <c r="A3" s="6" t="n">
        <v>46209</v>
      </c>
      <c r="B3" t="inlineStr">
        <is>
          <t>CloudDocs</t>
        </is>
      </c>
      <c r="C3" t="inlineStr">
        <is>
          <t>Software &amp; Subscriptions</t>
        </is>
      </c>
      <c r="D3" t="inlineStr">
        <is>
          <t>Cloud storage monthly</t>
        </is>
      </c>
      <c r="E3" s="7" t="n">
        <v>12</v>
      </c>
      <c r="F3" s="7" t="n">
        <v>0</v>
      </c>
      <c r="G3" t="inlineStr">
        <is>
          <t>Card</t>
        </is>
      </c>
      <c r="H3" t="inlineStr">
        <is>
          <t>General</t>
        </is>
      </c>
      <c r="I3" t="inlineStr">
        <is>
          <t>2026-07-06_clouddocs.png</t>
        </is>
      </c>
      <c r="J3" t="inlineStr"/>
    </row>
    <row r="4">
      <c r="A4" s="6" t="n">
        <v>46211</v>
      </c>
      <c r="B4" t="inlineStr">
        <is>
          <t>Metro Taxi</t>
        </is>
      </c>
      <c r="C4" t="inlineStr">
        <is>
          <t>Travel &amp; Transport</t>
        </is>
      </c>
      <c r="D4" t="inlineStr">
        <is>
          <t>Taxi to client meeting</t>
        </is>
      </c>
      <c r="E4" s="7" t="n">
        <v>18.75</v>
      </c>
      <c r="F4" s="7" t="n">
        <v>1.56</v>
      </c>
      <c r="G4" t="inlineStr">
        <is>
          <t>Cash</t>
        </is>
      </c>
      <c r="H4" t="inlineStr">
        <is>
          <t>Client: Northwind</t>
        </is>
      </c>
      <c r="I4" t="inlineStr">
        <is>
          <t>2026-07-08_metro-taxi.jpg</t>
        </is>
      </c>
      <c r="J4" t="inlineStr"/>
    </row>
    <row r="5">
      <c r="A5" s="6" t="n">
        <v>46213</v>
      </c>
      <c r="B5" t="inlineStr">
        <is>
          <t>Corner Café</t>
        </is>
      </c>
      <c r="C5" t="inlineStr">
        <is>
          <t>Meals &amp; Client Meetings</t>
        </is>
      </c>
      <c r="D5" t="inlineStr">
        <is>
          <t>Coffee with client</t>
        </is>
      </c>
      <c r="E5" s="7" t="n">
        <v>14.2</v>
      </c>
      <c r="F5" s="7" t="n">
        <v>1.18</v>
      </c>
      <c r="G5" t="inlineStr">
        <is>
          <t>Card</t>
        </is>
      </c>
      <c r="H5" t="inlineStr">
        <is>
          <t>Client: Northwind</t>
        </is>
      </c>
      <c r="I5" t="inlineStr">
        <is>
          <t>2026-07-10_corner-cafe.jpg</t>
        </is>
      </c>
      <c r="J5" t="inlineStr"/>
    </row>
    <row r="6">
      <c r="A6" s="6" t="n">
        <v>46217</v>
      </c>
      <c r="B6" t="inlineStr">
        <is>
          <t>TechMart</t>
        </is>
      </c>
      <c r="C6" t="inlineStr">
        <is>
          <t>Equipment &amp; Hardware</t>
        </is>
      </c>
      <c r="D6" t="inlineStr">
        <is>
          <t>USB-C cable + mouse</t>
        </is>
      </c>
      <c r="E6" s="7" t="n">
        <v>42.99</v>
      </c>
      <c r="F6" s="7" t="n">
        <v>3.58</v>
      </c>
      <c r="G6" t="inlineStr">
        <is>
          <t>Card</t>
        </is>
      </c>
      <c r="H6" t="inlineStr">
        <is>
          <t>General</t>
        </is>
      </c>
      <c r="I6" t="inlineStr">
        <is>
          <t>2026-07-14_techmart.jpg</t>
        </is>
      </c>
      <c r="J6" t="inlineStr"/>
    </row>
    <row r="7">
      <c r="A7" s="6" t="n">
        <v>46218</v>
      </c>
      <c r="B7" t="inlineStr">
        <is>
          <t>MobileCo</t>
        </is>
      </c>
      <c r="C7" t="inlineStr">
        <is>
          <t>Phone &amp; Internet</t>
        </is>
      </c>
      <c r="D7" t="inlineStr">
        <is>
          <t>Mobile bill July</t>
        </is>
      </c>
      <c r="E7" s="7" t="n">
        <v>35</v>
      </c>
      <c r="F7" s="7" t="n">
        <v>2.92</v>
      </c>
      <c r="G7" t="inlineStr">
        <is>
          <t>Bank Transfer</t>
        </is>
      </c>
      <c r="H7" t="inlineStr">
        <is>
          <t>General</t>
        </is>
      </c>
      <c r="I7" t="inlineStr">
        <is>
          <t>2026-07-15_mobileco.pdf</t>
        </is>
      </c>
      <c r="J7" t="inlineStr"/>
    </row>
    <row r="8">
      <c r="A8" s="6" t="n">
        <v>46224</v>
      </c>
      <c r="B8" t="inlineStr">
        <is>
          <t>CoWork Hub</t>
        </is>
      </c>
      <c r="C8" t="inlineStr">
        <is>
          <t>Other</t>
        </is>
      </c>
      <c r="D8" t="inlineStr">
        <is>
          <t>Day pass</t>
        </is>
      </c>
      <c r="E8" s="7" t="n">
        <v>19</v>
      </c>
      <c r="F8" s="7" t="n">
        <v>1.58</v>
      </c>
      <c r="G8" t="inlineStr">
        <is>
          <t>Card</t>
        </is>
      </c>
      <c r="H8" t="inlineStr">
        <is>
          <t>General</t>
        </is>
      </c>
      <c r="I8" t="inlineStr">
        <is>
          <t>2026-07-21_cowork-hub.jpg</t>
        </is>
      </c>
      <c r="J8" t="inlineStr"/>
    </row>
    <row r="9">
      <c r="A9" s="6" t="n">
        <v>46231</v>
      </c>
      <c r="B9" t="inlineStr">
        <is>
          <t>Freelance Tax Pro</t>
        </is>
      </c>
      <c r="C9" t="inlineStr">
        <is>
          <t>Professional Services</t>
        </is>
      </c>
      <c r="D9" t="inlineStr">
        <is>
          <t>Q2 tax consultation</t>
        </is>
      </c>
      <c r="E9" s="7" t="n">
        <v>120</v>
      </c>
      <c r="F9" s="7" t="n">
        <v>0</v>
      </c>
      <c r="G9" t="inlineStr">
        <is>
          <t>Bank Transfer</t>
        </is>
      </c>
      <c r="H9" t="inlineStr">
        <is>
          <t>General</t>
        </is>
      </c>
      <c r="I9" t="inlineStr">
        <is>
          <t>2026-07-28_taxpro.pdf</t>
        </is>
      </c>
      <c r="J9" t="inlineStr"/>
    </row>
    <row r="10">
      <c r="A10" s="6" t="n">
        <v>46237</v>
      </c>
      <c r="B10" t="inlineStr">
        <is>
          <t>AdPlatform</t>
        </is>
      </c>
      <c r="C10" t="inlineStr">
        <is>
          <t>Marketing &amp; Advertising</t>
        </is>
      </c>
      <c r="D10" t="inlineStr">
        <is>
          <t>Social ads — August</t>
        </is>
      </c>
      <c r="E10" s="7" t="n">
        <v>60</v>
      </c>
      <c r="F10" s="7" t="n">
        <v>5</v>
      </c>
      <c r="G10" t="inlineStr">
        <is>
          <t>Card</t>
        </is>
      </c>
      <c r="H10" t="inlineStr">
        <is>
          <t>General</t>
        </is>
      </c>
      <c r="I10" t="inlineStr">
        <is>
          <t>2026-08-03_adplatform.png</t>
        </is>
      </c>
      <c r="J10" t="inlineStr"/>
    </row>
    <row r="11">
      <c r="A11" s="6" t="n">
        <v>46239</v>
      </c>
      <c r="B11" t="inlineStr">
        <is>
          <t>SkillUp Courses</t>
        </is>
      </c>
      <c r="C11" t="inlineStr">
        <is>
          <t>Education &amp; Training</t>
        </is>
      </c>
      <c r="D11" t="inlineStr">
        <is>
          <t>Online course: pricing</t>
        </is>
      </c>
      <c r="E11" s="7" t="n">
        <v>89</v>
      </c>
      <c r="F11" s="7" t="n">
        <v>0</v>
      </c>
      <c r="G11" t="inlineStr">
        <is>
          <t>Card</t>
        </is>
      </c>
      <c r="H11" t="inlineStr">
        <is>
          <t>General</t>
        </is>
      </c>
      <c r="I11" t="inlineStr">
        <is>
          <t>2026-08-05_skillup.pdf</t>
        </is>
      </c>
      <c r="J11" t="inlineStr"/>
    </row>
    <row r="12">
      <c r="A12" s="6" t="n">
        <v>46245</v>
      </c>
      <c r="B12" t="inlineStr">
        <is>
          <t>BookWorld</t>
        </is>
      </c>
      <c r="C12" t="inlineStr">
        <is>
          <t>Education &amp; Training</t>
        </is>
      </c>
      <c r="D12" t="inlineStr">
        <is>
          <t>Book: freelancing finance</t>
        </is>
      </c>
      <c r="E12" s="7" t="n">
        <v>21.5</v>
      </c>
      <c r="F12" s="7" t="n">
        <v>0</v>
      </c>
      <c r="G12" t="inlineStr">
        <is>
          <t>Card</t>
        </is>
      </c>
      <c r="H12" t="inlineStr">
        <is>
          <t>General</t>
        </is>
      </c>
      <c r="I12" t="inlineStr">
        <is>
          <t>2026-08-11_bookworld.jpg</t>
        </is>
      </c>
      <c r="J12" t="inlineStr"/>
    </row>
    <row r="13">
      <c r="A13" s="6" t="n">
        <v>46246</v>
      </c>
      <c r="B13" t="inlineStr">
        <is>
          <t>RailGo</t>
        </is>
      </c>
      <c r="C13" t="inlineStr">
        <is>
          <t>Travel &amp; Transport</t>
        </is>
      </c>
      <c r="D13" t="inlineStr">
        <is>
          <t>Train to client city</t>
        </is>
      </c>
      <c r="E13" s="7" t="n">
        <v>46</v>
      </c>
      <c r="F13" s="7" t="n">
        <v>3.83</v>
      </c>
      <c r="G13" t="inlineStr">
        <is>
          <t>Card</t>
        </is>
      </c>
      <c r="H13" t="inlineStr">
        <is>
          <t>Client: Northwind</t>
        </is>
      </c>
      <c r="I13" t="inlineStr">
        <is>
          <t>2026-08-12_railgo.pdf</t>
        </is>
      </c>
      <c r="J13" t="inlineStr"/>
    </row>
    <row r="14">
      <c r="A14" s="6" t="n">
        <v>46252</v>
      </c>
      <c r="B14" t="inlineStr">
        <is>
          <t>PrintShop</t>
        </is>
      </c>
      <c r="C14" t="inlineStr">
        <is>
          <t>Marketing &amp; Advertising</t>
        </is>
      </c>
      <c r="D14" t="inlineStr">
        <is>
          <t>Business cards print</t>
        </is>
      </c>
      <c r="E14" s="7" t="n">
        <v>38.4</v>
      </c>
      <c r="F14" s="7" t="n">
        <v>3.2</v>
      </c>
      <c r="G14" t="inlineStr">
        <is>
          <t>Card</t>
        </is>
      </c>
      <c r="H14" t="inlineStr">
        <is>
          <t>General</t>
        </is>
      </c>
      <c r="I14" t="inlineStr">
        <is>
          <t>2026-08-18_printshop.jpg</t>
        </is>
      </c>
      <c r="J14" t="inlineStr"/>
    </row>
    <row r="15">
      <c r="A15" s="6" t="n">
        <v>46254</v>
      </c>
      <c r="B15" t="inlineStr">
        <is>
          <t>Corner Café</t>
        </is>
      </c>
      <c r="C15" t="inlineStr">
        <is>
          <t>Meals &amp; Client Meetings</t>
        </is>
      </c>
      <c r="D15" t="inlineStr">
        <is>
          <t>Lunch with client</t>
        </is>
      </c>
      <c r="E15" s="7" t="n">
        <v>32.75</v>
      </c>
      <c r="F15" s="7" t="n">
        <v>2.73</v>
      </c>
      <c r="G15" t="inlineStr">
        <is>
          <t>Card</t>
        </is>
      </c>
      <c r="H15" t="inlineStr">
        <is>
          <t>Client: BluePeak</t>
        </is>
      </c>
      <c r="I15" t="inlineStr">
        <is>
          <t>2026-08-20_corner-cafe.jpg</t>
        </is>
      </c>
      <c r="J15" t="inlineStr"/>
    </row>
    <row r="16">
      <c r="A16" s="6" t="n">
        <v>46259</v>
      </c>
      <c r="B16" t="inlineStr">
        <is>
          <t>NetProvider</t>
        </is>
      </c>
      <c r="C16" t="inlineStr">
        <is>
          <t>Phone &amp; Internet</t>
        </is>
      </c>
      <c r="D16" t="inlineStr">
        <is>
          <t>Broadband August</t>
        </is>
      </c>
      <c r="E16" s="7" t="n">
        <v>49.99</v>
      </c>
      <c r="F16" s="7" t="n">
        <v>4.17</v>
      </c>
      <c r="G16" t="inlineStr">
        <is>
          <t>Bank Transfer</t>
        </is>
      </c>
      <c r="H16" t="inlineStr">
        <is>
          <t>General</t>
        </is>
      </c>
      <c r="I16" t="inlineStr">
        <is>
          <t>2026-08-25_netprovider.pdf</t>
        </is>
      </c>
      <c r="J16" t="inlineStr"/>
    </row>
    <row r="17">
      <c r="A17" s="6" t="n">
        <v>46266</v>
      </c>
      <c r="B17" t="inlineStr">
        <is>
          <t>DesignStock</t>
        </is>
      </c>
      <c r="C17" t="inlineStr">
        <is>
          <t>Software &amp; Subscriptions</t>
        </is>
      </c>
      <c r="D17" t="inlineStr">
        <is>
          <t>Stock photos pack</t>
        </is>
      </c>
      <c r="E17" s="7" t="n">
        <v>29</v>
      </c>
      <c r="F17" s="7" t="n">
        <v>2.42</v>
      </c>
      <c r="G17" t="inlineStr">
        <is>
          <t>Card</t>
        </is>
      </c>
      <c r="H17" t="inlineStr">
        <is>
          <t>General</t>
        </is>
      </c>
      <c r="I17" t="inlineStr">
        <is>
          <t>2026-09-01_designstock.png</t>
        </is>
      </c>
      <c r="J17" t="inlineStr"/>
    </row>
    <row r="18">
      <c r="A18" s="6" t="n">
        <v>46269</v>
      </c>
      <c r="B18" t="inlineStr">
        <is>
          <t>SupplyMart</t>
        </is>
      </c>
      <c r="C18" t="inlineStr">
        <is>
          <t>Office Supplies</t>
        </is>
      </c>
      <c r="D18" t="inlineStr">
        <is>
          <t>Notebook + sticky notes</t>
        </is>
      </c>
      <c r="E18" s="7" t="n">
        <v>11.3</v>
      </c>
      <c r="F18" s="7" t="n">
        <v>0.9399999999999999</v>
      </c>
      <c r="G18" t="inlineStr">
        <is>
          <t>Cash</t>
        </is>
      </c>
      <c r="H18" t="inlineStr">
        <is>
          <t>General</t>
        </is>
      </c>
      <c r="I18" t="inlineStr">
        <is>
          <t>2026-09-04_supplymart.jpg</t>
        </is>
      </c>
      <c r="J18" t="inlineStr"/>
    </row>
    <row r="19">
      <c r="A19" s="6" t="n">
        <v>46274</v>
      </c>
      <c r="B19" t="inlineStr">
        <is>
          <t>Metro Taxi</t>
        </is>
      </c>
      <c r="C19" t="inlineStr">
        <is>
          <t>Travel &amp; Transport</t>
        </is>
      </c>
      <c r="D19" t="inlineStr">
        <is>
          <t>Airport taxi</t>
        </is>
      </c>
      <c r="E19" s="7" t="n">
        <v>27.5</v>
      </c>
      <c r="F19" s="7" t="n">
        <v>2.29</v>
      </c>
      <c r="G19" t="inlineStr">
        <is>
          <t>Digital Wallet</t>
        </is>
      </c>
      <c r="H19" t="inlineStr">
        <is>
          <t>Client: BluePeak</t>
        </is>
      </c>
      <c r="I19" t="inlineStr">
        <is>
          <t>2026-09-09_metro-taxi.jpg</t>
        </is>
      </c>
      <c r="J19" t="inlineStr"/>
    </row>
    <row r="20">
      <c r="A20" s="6" t="n">
        <v>46280</v>
      </c>
      <c r="B20" t="inlineStr">
        <is>
          <t>LearnLab</t>
        </is>
      </c>
      <c r="C20" t="inlineStr">
        <is>
          <t>Education &amp; Training</t>
        </is>
      </c>
      <c r="D20" t="inlineStr">
        <is>
          <t>Workshop: contracts</t>
        </is>
      </c>
      <c r="E20" s="7" t="n">
        <v>65</v>
      </c>
      <c r="F20" s="7" t="n">
        <v>0</v>
      </c>
      <c r="G20" t="inlineStr">
        <is>
          <t>Card</t>
        </is>
      </c>
      <c r="H20" t="inlineStr">
        <is>
          <t>General</t>
        </is>
      </c>
      <c r="I20" t="inlineStr">
        <is>
          <t>2026-09-15_learnlab.pdf</t>
        </is>
      </c>
      <c r="J20" t="inlineStr"/>
    </row>
    <row r="21">
      <c r="A21" s="6" t="n">
        <v>46287</v>
      </c>
      <c r="B21" t="inlineStr">
        <is>
          <t>PromoPrint</t>
        </is>
      </c>
      <c r="C21" t="inlineStr">
        <is>
          <t>Marketing &amp; Advertising</t>
        </is>
      </c>
      <c r="D21" t="inlineStr">
        <is>
          <t>Flyers for local fair</t>
        </is>
      </c>
      <c r="E21" s="7" t="n">
        <v>44</v>
      </c>
      <c r="F21" s="7" t="n">
        <v>3.67</v>
      </c>
      <c r="G21" t="inlineStr">
        <is>
          <t>Card</t>
        </is>
      </c>
      <c r="H21" t="inlineStr">
        <is>
          <t>General</t>
        </is>
      </c>
      <c r="I21" t="inlineStr">
        <is>
          <t>2026-09-22_promoprint.jpg</t>
        </is>
      </c>
      <c r="J21" t="inlineStr"/>
    </row>
    <row r="22">
      <c r="A22" s="6" t="n"/>
      <c r="E22" s="7" t="n"/>
      <c r="F22" s="7" t="n"/>
    </row>
    <row r="23">
      <c r="A23" s="6" t="n"/>
      <c r="E23" s="7" t="n"/>
      <c r="F23" s="7" t="n"/>
    </row>
    <row r="24">
      <c r="A24" s="6" t="n"/>
      <c r="E24" s="7" t="n"/>
      <c r="F24" s="7" t="n"/>
    </row>
    <row r="25">
      <c r="A25" s="6" t="n"/>
      <c r="E25" s="7" t="n"/>
      <c r="F25" s="7" t="n"/>
    </row>
    <row r="26">
      <c r="A26" s="6" t="n"/>
      <c r="E26" s="7" t="n"/>
      <c r="F26" s="7" t="n"/>
    </row>
    <row r="27">
      <c r="A27" s="6" t="n"/>
      <c r="E27" s="7" t="n"/>
      <c r="F27" s="7" t="n"/>
    </row>
    <row r="28">
      <c r="A28" s="6" t="n"/>
      <c r="E28" s="7" t="n"/>
      <c r="F28" s="7" t="n"/>
    </row>
    <row r="29">
      <c r="A29" s="6" t="n"/>
      <c r="E29" s="7" t="n"/>
      <c r="F29" s="7" t="n"/>
    </row>
    <row r="30">
      <c r="A30" s="6" t="n"/>
      <c r="E30" s="7" t="n"/>
      <c r="F30" s="7" t="n"/>
    </row>
    <row r="31">
      <c r="A31" s="6" t="n"/>
      <c r="E31" s="7" t="n"/>
      <c r="F31" s="7" t="n"/>
    </row>
    <row r="32">
      <c r="A32" s="6" t="n"/>
      <c r="E32" s="7" t="n"/>
      <c r="F32" s="7" t="n"/>
    </row>
    <row r="33">
      <c r="A33" s="6" t="n"/>
      <c r="E33" s="7" t="n"/>
      <c r="F33" s="7" t="n"/>
    </row>
    <row r="34">
      <c r="A34" s="6" t="n"/>
      <c r="E34" s="7" t="n"/>
      <c r="F34" s="7" t="n"/>
    </row>
    <row r="35">
      <c r="A35" s="6" t="n"/>
      <c r="E35" s="7" t="n"/>
      <c r="F35" s="7" t="n"/>
    </row>
    <row r="36">
      <c r="A36" s="6" t="n"/>
      <c r="E36" s="7" t="n"/>
      <c r="F36" s="7" t="n"/>
    </row>
    <row r="37">
      <c r="A37" s="6" t="n"/>
      <c r="E37" s="7" t="n"/>
      <c r="F37" s="7" t="n"/>
    </row>
    <row r="38">
      <c r="A38" s="6" t="n"/>
      <c r="E38" s="7" t="n"/>
      <c r="F38" s="7" t="n"/>
    </row>
    <row r="39">
      <c r="A39" s="6" t="n"/>
      <c r="E39" s="7" t="n"/>
      <c r="F39" s="7" t="n"/>
    </row>
    <row r="40">
      <c r="A40" s="6" t="n"/>
      <c r="E40" s="7" t="n"/>
      <c r="F40" s="7" t="n"/>
    </row>
    <row r="41">
      <c r="A41" s="6" t="n"/>
      <c r="E41" s="7" t="n"/>
      <c r="F41" s="7" t="n"/>
    </row>
    <row r="42">
      <c r="A42" s="6" t="n"/>
      <c r="E42" s="7" t="n"/>
      <c r="F42" s="7" t="n"/>
    </row>
    <row r="43">
      <c r="A43" s="6" t="n"/>
      <c r="E43" s="7" t="n"/>
      <c r="F43" s="7" t="n"/>
    </row>
    <row r="44">
      <c r="A44" s="6" t="n"/>
      <c r="E44" s="7" t="n"/>
      <c r="F44" s="7" t="n"/>
    </row>
    <row r="45">
      <c r="A45" s="6" t="n"/>
      <c r="E45" s="7" t="n"/>
      <c r="F45" s="7" t="n"/>
    </row>
    <row r="46">
      <c r="A46" s="6" t="n"/>
      <c r="E46" s="7" t="n"/>
      <c r="F46" s="7" t="n"/>
    </row>
    <row r="47">
      <c r="A47" s="6" t="n"/>
      <c r="E47" s="7" t="n"/>
      <c r="F47" s="7" t="n"/>
    </row>
    <row r="48">
      <c r="A48" s="6" t="n"/>
      <c r="E48" s="7" t="n"/>
      <c r="F48" s="7" t="n"/>
    </row>
    <row r="49">
      <c r="A49" s="6" t="n"/>
      <c r="E49" s="7" t="n"/>
      <c r="F49" s="7" t="n"/>
    </row>
    <row r="50">
      <c r="A50" s="6" t="n"/>
      <c r="E50" s="7" t="n"/>
      <c r="F50" s="7" t="n"/>
    </row>
    <row r="51">
      <c r="A51" s="6" t="n"/>
      <c r="E51" s="7" t="n"/>
      <c r="F51" s="7" t="n"/>
    </row>
    <row r="52">
      <c r="A52" s="6" t="n"/>
      <c r="E52" s="7" t="n"/>
      <c r="F52" s="7" t="n"/>
    </row>
    <row r="53">
      <c r="A53" s="6" t="n"/>
      <c r="E53" s="7" t="n"/>
      <c r="F53" s="7" t="n"/>
    </row>
    <row r="54">
      <c r="A54" s="6" t="n"/>
      <c r="E54" s="7" t="n"/>
      <c r="F54" s="7" t="n"/>
    </row>
    <row r="55">
      <c r="A55" s="6" t="n"/>
      <c r="E55" s="7" t="n"/>
      <c r="F55" s="7" t="n"/>
    </row>
    <row r="56">
      <c r="A56" s="6" t="n"/>
      <c r="E56" s="7" t="n"/>
      <c r="F56" s="7" t="n"/>
    </row>
    <row r="57">
      <c r="A57" s="6" t="n"/>
      <c r="E57" s="7" t="n"/>
      <c r="F57" s="7" t="n"/>
    </row>
    <row r="58">
      <c r="A58" s="6" t="n"/>
      <c r="E58" s="7" t="n"/>
      <c r="F58" s="7" t="n"/>
    </row>
    <row r="59">
      <c r="A59" s="6" t="n"/>
      <c r="E59" s="7" t="n"/>
      <c r="F59" s="7" t="n"/>
    </row>
    <row r="60">
      <c r="A60" s="6" t="n"/>
      <c r="E60" s="7" t="n"/>
      <c r="F60" s="7" t="n"/>
    </row>
    <row r="61">
      <c r="A61" s="6" t="n"/>
      <c r="E61" s="7" t="n"/>
      <c r="F61" s="7" t="n"/>
    </row>
    <row r="62">
      <c r="A62" s="6" t="n"/>
      <c r="E62" s="7" t="n"/>
      <c r="F62" s="7" t="n"/>
    </row>
    <row r="63">
      <c r="A63" s="6" t="n"/>
      <c r="E63" s="7" t="n"/>
      <c r="F63" s="7" t="n"/>
    </row>
    <row r="64">
      <c r="A64" s="6" t="n"/>
      <c r="E64" s="7" t="n"/>
      <c r="F64" s="7" t="n"/>
    </row>
    <row r="65">
      <c r="A65" s="6" t="n"/>
      <c r="E65" s="7" t="n"/>
      <c r="F65" s="7" t="n"/>
    </row>
    <row r="66">
      <c r="A66" s="6" t="n"/>
      <c r="E66" s="7" t="n"/>
      <c r="F66" s="7" t="n"/>
    </row>
    <row r="67">
      <c r="A67" s="6" t="n"/>
      <c r="E67" s="7" t="n"/>
      <c r="F67" s="7" t="n"/>
    </row>
    <row r="68">
      <c r="A68" s="6" t="n"/>
      <c r="E68" s="7" t="n"/>
      <c r="F68" s="7" t="n"/>
    </row>
    <row r="69">
      <c r="A69" s="6" t="n"/>
      <c r="E69" s="7" t="n"/>
      <c r="F69" s="7" t="n"/>
    </row>
    <row r="70">
      <c r="A70" s="6" t="n"/>
      <c r="E70" s="7" t="n"/>
      <c r="F70" s="7" t="n"/>
    </row>
    <row r="71">
      <c r="A71" s="6" t="n"/>
      <c r="E71" s="7" t="n"/>
      <c r="F71" s="7" t="n"/>
    </row>
    <row r="72">
      <c r="A72" s="6" t="n"/>
      <c r="E72" s="7" t="n"/>
      <c r="F72" s="7" t="n"/>
    </row>
    <row r="73">
      <c r="A73" s="6" t="n"/>
      <c r="E73" s="7" t="n"/>
      <c r="F73" s="7" t="n"/>
    </row>
    <row r="74">
      <c r="A74" s="6" t="n"/>
      <c r="E74" s="7" t="n"/>
      <c r="F74" s="7" t="n"/>
    </row>
    <row r="75">
      <c r="A75" s="6" t="n"/>
      <c r="E75" s="7" t="n"/>
      <c r="F75" s="7" t="n"/>
    </row>
    <row r="76">
      <c r="A76" s="6" t="n"/>
      <c r="E76" s="7" t="n"/>
      <c r="F76" s="7" t="n"/>
    </row>
    <row r="77">
      <c r="A77" s="6" t="n"/>
      <c r="E77" s="7" t="n"/>
      <c r="F77" s="7" t="n"/>
    </row>
    <row r="78">
      <c r="A78" s="6" t="n"/>
      <c r="E78" s="7" t="n"/>
      <c r="F78" s="7" t="n"/>
    </row>
    <row r="79">
      <c r="A79" s="6" t="n"/>
      <c r="E79" s="7" t="n"/>
      <c r="F79" s="7" t="n"/>
    </row>
    <row r="80">
      <c r="A80" s="6" t="n"/>
      <c r="E80" s="7" t="n"/>
      <c r="F80" s="7" t="n"/>
    </row>
    <row r="81">
      <c r="A81" s="6" t="n"/>
      <c r="E81" s="7" t="n"/>
      <c r="F81" s="7" t="n"/>
    </row>
    <row r="82">
      <c r="A82" s="6" t="n"/>
      <c r="E82" s="7" t="n"/>
      <c r="F82" s="7" t="n"/>
    </row>
    <row r="83">
      <c r="A83" s="6" t="n"/>
      <c r="E83" s="7" t="n"/>
      <c r="F83" s="7" t="n"/>
    </row>
    <row r="84">
      <c r="A84" s="6" t="n"/>
      <c r="E84" s="7" t="n"/>
      <c r="F84" s="7" t="n"/>
    </row>
    <row r="85">
      <c r="A85" s="6" t="n"/>
      <c r="E85" s="7" t="n"/>
      <c r="F85" s="7" t="n"/>
    </row>
    <row r="86">
      <c r="A86" s="6" t="n"/>
      <c r="E86" s="7" t="n"/>
      <c r="F86" s="7" t="n"/>
    </row>
    <row r="87">
      <c r="A87" s="6" t="n"/>
      <c r="E87" s="7" t="n"/>
      <c r="F87" s="7" t="n"/>
    </row>
    <row r="88">
      <c r="A88" s="6" t="n"/>
      <c r="E88" s="7" t="n"/>
      <c r="F88" s="7" t="n"/>
    </row>
    <row r="89">
      <c r="A89" s="6" t="n"/>
      <c r="E89" s="7" t="n"/>
      <c r="F89" s="7" t="n"/>
    </row>
    <row r="90">
      <c r="A90" s="6" t="n"/>
      <c r="E90" s="7" t="n"/>
      <c r="F90" s="7" t="n"/>
    </row>
    <row r="91">
      <c r="A91" s="6" t="n"/>
      <c r="E91" s="7" t="n"/>
      <c r="F91" s="7" t="n"/>
    </row>
    <row r="92">
      <c r="A92" s="6" t="n"/>
      <c r="E92" s="7" t="n"/>
      <c r="F92" s="7" t="n"/>
    </row>
    <row r="93">
      <c r="A93" s="6" t="n"/>
      <c r="E93" s="7" t="n"/>
      <c r="F93" s="7" t="n"/>
    </row>
    <row r="94">
      <c r="A94" s="6" t="n"/>
      <c r="E94" s="7" t="n"/>
      <c r="F94" s="7" t="n"/>
    </row>
    <row r="95">
      <c r="A95" s="6" t="n"/>
      <c r="E95" s="7" t="n"/>
      <c r="F95" s="7" t="n"/>
    </row>
    <row r="96">
      <c r="A96" s="6" t="n"/>
      <c r="E96" s="7" t="n"/>
      <c r="F96" s="7" t="n"/>
    </row>
    <row r="97">
      <c r="A97" s="6" t="n"/>
      <c r="E97" s="7" t="n"/>
      <c r="F97" s="7" t="n"/>
    </row>
    <row r="98">
      <c r="A98" s="6" t="n"/>
      <c r="E98" s="7" t="n"/>
      <c r="F98" s="7" t="n"/>
    </row>
    <row r="99">
      <c r="A99" s="6" t="n"/>
      <c r="E99" s="7" t="n"/>
      <c r="F99" s="7" t="n"/>
    </row>
    <row r="100">
      <c r="A100" s="6" t="n"/>
      <c r="E100" s="7" t="n"/>
      <c r="F100" s="7" t="n"/>
    </row>
    <row r="101">
      <c r="A101" s="6" t="n"/>
      <c r="E101" s="7" t="n"/>
      <c r="F101" s="7" t="n"/>
    </row>
    <row r="102">
      <c r="A102" s="6" t="n"/>
      <c r="E102" s="7" t="n"/>
      <c r="F102" s="7" t="n"/>
    </row>
    <row r="103">
      <c r="A103" s="6" t="n"/>
      <c r="E103" s="7" t="n"/>
      <c r="F103" s="7" t="n"/>
    </row>
    <row r="104">
      <c r="A104" s="6" t="n"/>
      <c r="E104" s="7" t="n"/>
      <c r="F104" s="7" t="n"/>
    </row>
    <row r="105">
      <c r="A105" s="6" t="n"/>
      <c r="E105" s="7" t="n"/>
      <c r="F105" s="7" t="n"/>
    </row>
    <row r="106">
      <c r="A106" s="6" t="n"/>
      <c r="E106" s="7" t="n"/>
      <c r="F106" s="7" t="n"/>
    </row>
    <row r="107">
      <c r="A107" s="6" t="n"/>
      <c r="E107" s="7" t="n"/>
      <c r="F107" s="7" t="n"/>
    </row>
    <row r="108">
      <c r="A108" s="6" t="n"/>
      <c r="E108" s="7" t="n"/>
      <c r="F108" s="7" t="n"/>
    </row>
    <row r="109">
      <c r="A109" s="6" t="n"/>
      <c r="E109" s="7" t="n"/>
      <c r="F109" s="7" t="n"/>
    </row>
    <row r="110">
      <c r="A110" s="6" t="n"/>
      <c r="E110" s="7" t="n"/>
      <c r="F110" s="7" t="n"/>
    </row>
    <row r="111">
      <c r="A111" s="6" t="n"/>
      <c r="E111" s="7" t="n"/>
      <c r="F111" s="7" t="n"/>
    </row>
    <row r="112">
      <c r="A112" s="6" t="n"/>
      <c r="E112" s="7" t="n"/>
      <c r="F112" s="7" t="n"/>
    </row>
    <row r="113">
      <c r="A113" s="6" t="n"/>
      <c r="E113" s="7" t="n"/>
      <c r="F113" s="7" t="n"/>
    </row>
    <row r="114">
      <c r="A114" s="6" t="n"/>
      <c r="E114" s="7" t="n"/>
      <c r="F114" s="7" t="n"/>
    </row>
    <row r="115">
      <c r="A115" s="6" t="n"/>
      <c r="E115" s="7" t="n"/>
      <c r="F115" s="7" t="n"/>
    </row>
    <row r="116">
      <c r="A116" s="6" t="n"/>
      <c r="E116" s="7" t="n"/>
      <c r="F116" s="7" t="n"/>
    </row>
    <row r="117">
      <c r="A117" s="6" t="n"/>
      <c r="E117" s="7" t="n"/>
      <c r="F117" s="7" t="n"/>
    </row>
    <row r="118">
      <c r="A118" s="6" t="n"/>
      <c r="E118" s="7" t="n"/>
      <c r="F118" s="7" t="n"/>
    </row>
    <row r="119">
      <c r="A119" s="6" t="n"/>
      <c r="E119" s="7" t="n"/>
      <c r="F119" s="7" t="n"/>
    </row>
    <row r="120">
      <c r="A120" s="6" t="n"/>
      <c r="E120" s="7" t="n"/>
      <c r="F120" s="7" t="n"/>
    </row>
    <row r="121">
      <c r="A121" s="6" t="n"/>
      <c r="E121" s="7" t="n"/>
      <c r="F121" s="7" t="n"/>
    </row>
    <row r="122">
      <c r="A122" s="6" t="n"/>
      <c r="E122" s="7" t="n"/>
      <c r="F122" s="7" t="n"/>
    </row>
    <row r="123">
      <c r="A123" s="6" t="n"/>
      <c r="E123" s="7" t="n"/>
      <c r="F123" s="7" t="n"/>
    </row>
    <row r="124">
      <c r="A124" s="6" t="n"/>
      <c r="E124" s="7" t="n"/>
      <c r="F124" s="7" t="n"/>
    </row>
    <row r="125">
      <c r="A125" s="6" t="n"/>
      <c r="E125" s="7" t="n"/>
      <c r="F125" s="7" t="n"/>
    </row>
    <row r="126">
      <c r="A126" s="6" t="n"/>
      <c r="E126" s="7" t="n"/>
      <c r="F126" s="7" t="n"/>
    </row>
    <row r="127">
      <c r="A127" s="6" t="n"/>
      <c r="E127" s="7" t="n"/>
      <c r="F127" s="7" t="n"/>
    </row>
    <row r="128">
      <c r="A128" s="6" t="n"/>
      <c r="E128" s="7" t="n"/>
      <c r="F128" s="7" t="n"/>
    </row>
    <row r="129">
      <c r="A129" s="6" t="n"/>
      <c r="E129" s="7" t="n"/>
      <c r="F129" s="7" t="n"/>
    </row>
    <row r="130">
      <c r="A130" s="6" t="n"/>
      <c r="E130" s="7" t="n"/>
      <c r="F130" s="7" t="n"/>
    </row>
    <row r="131">
      <c r="A131" s="6" t="n"/>
      <c r="E131" s="7" t="n"/>
      <c r="F131" s="7" t="n"/>
    </row>
    <row r="132">
      <c r="A132" s="6" t="n"/>
      <c r="E132" s="7" t="n"/>
      <c r="F132" s="7" t="n"/>
    </row>
    <row r="133">
      <c r="A133" s="6" t="n"/>
      <c r="E133" s="7" t="n"/>
      <c r="F133" s="7" t="n"/>
    </row>
    <row r="134">
      <c r="A134" s="6" t="n"/>
      <c r="E134" s="7" t="n"/>
      <c r="F134" s="7" t="n"/>
    </row>
    <row r="135">
      <c r="A135" s="6" t="n"/>
      <c r="E135" s="7" t="n"/>
      <c r="F135" s="7" t="n"/>
    </row>
    <row r="136">
      <c r="A136" s="6" t="n"/>
      <c r="E136" s="7" t="n"/>
      <c r="F136" s="7" t="n"/>
    </row>
    <row r="137">
      <c r="A137" s="6" t="n"/>
      <c r="E137" s="7" t="n"/>
      <c r="F137" s="7" t="n"/>
    </row>
    <row r="138">
      <c r="A138" s="6" t="n"/>
      <c r="E138" s="7" t="n"/>
      <c r="F138" s="7" t="n"/>
    </row>
    <row r="139">
      <c r="A139" s="6" t="n"/>
      <c r="E139" s="7" t="n"/>
      <c r="F139" s="7" t="n"/>
    </row>
    <row r="140">
      <c r="A140" s="6" t="n"/>
      <c r="E140" s="7" t="n"/>
      <c r="F140" s="7" t="n"/>
    </row>
    <row r="141">
      <c r="A141" s="6" t="n"/>
      <c r="E141" s="7" t="n"/>
      <c r="F141" s="7" t="n"/>
    </row>
    <row r="142">
      <c r="A142" s="6" t="n"/>
      <c r="E142" s="7" t="n"/>
      <c r="F142" s="7" t="n"/>
    </row>
    <row r="143">
      <c r="A143" s="6" t="n"/>
      <c r="E143" s="7" t="n"/>
      <c r="F143" s="7" t="n"/>
    </row>
    <row r="144">
      <c r="A144" s="6" t="n"/>
      <c r="E144" s="7" t="n"/>
      <c r="F144" s="7" t="n"/>
    </row>
    <row r="145">
      <c r="A145" s="6" t="n"/>
      <c r="E145" s="7" t="n"/>
      <c r="F145" s="7" t="n"/>
    </row>
    <row r="146">
      <c r="A146" s="6" t="n"/>
      <c r="E146" s="7" t="n"/>
      <c r="F146" s="7" t="n"/>
    </row>
    <row r="147">
      <c r="A147" s="6" t="n"/>
      <c r="E147" s="7" t="n"/>
      <c r="F147" s="7" t="n"/>
    </row>
    <row r="148">
      <c r="A148" s="6" t="n"/>
      <c r="E148" s="7" t="n"/>
      <c r="F148" s="7" t="n"/>
    </row>
    <row r="149">
      <c r="A149" s="6" t="n"/>
      <c r="E149" s="7" t="n"/>
      <c r="F149" s="7" t="n"/>
    </row>
    <row r="150">
      <c r="A150" s="6" t="n"/>
      <c r="E150" s="7" t="n"/>
      <c r="F150" s="7" t="n"/>
    </row>
    <row r="151">
      <c r="A151" s="6" t="n"/>
      <c r="E151" s="7" t="n"/>
      <c r="F151" s="7" t="n"/>
    </row>
    <row r="152">
      <c r="A152" s="6" t="n"/>
      <c r="E152" s="7" t="n"/>
      <c r="F152" s="7" t="n"/>
    </row>
    <row r="153">
      <c r="A153" s="6" t="n"/>
      <c r="E153" s="7" t="n"/>
      <c r="F153" s="7" t="n"/>
    </row>
    <row r="154">
      <c r="A154" s="6" t="n"/>
      <c r="E154" s="7" t="n"/>
      <c r="F154" s="7" t="n"/>
    </row>
    <row r="155">
      <c r="A155" s="6" t="n"/>
      <c r="E155" s="7" t="n"/>
      <c r="F155" s="7" t="n"/>
    </row>
    <row r="156">
      <c r="A156" s="6" t="n"/>
      <c r="E156" s="7" t="n"/>
      <c r="F156" s="7" t="n"/>
    </row>
    <row r="157">
      <c r="A157" s="6" t="n"/>
      <c r="E157" s="7" t="n"/>
      <c r="F157" s="7" t="n"/>
    </row>
    <row r="158">
      <c r="A158" s="6" t="n"/>
      <c r="E158" s="7" t="n"/>
      <c r="F158" s="7" t="n"/>
    </row>
    <row r="159">
      <c r="A159" s="6" t="n"/>
      <c r="E159" s="7" t="n"/>
      <c r="F159" s="7" t="n"/>
    </row>
    <row r="160">
      <c r="A160" s="6" t="n"/>
      <c r="E160" s="7" t="n"/>
      <c r="F160" s="7" t="n"/>
    </row>
    <row r="161">
      <c r="A161" s="6" t="n"/>
      <c r="E161" s="7" t="n"/>
      <c r="F161" s="7" t="n"/>
    </row>
    <row r="162">
      <c r="A162" s="6" t="n"/>
      <c r="E162" s="7" t="n"/>
      <c r="F162" s="7" t="n"/>
    </row>
    <row r="163">
      <c r="A163" s="6" t="n"/>
      <c r="E163" s="7" t="n"/>
      <c r="F163" s="7" t="n"/>
    </row>
    <row r="164">
      <c r="A164" s="6" t="n"/>
      <c r="E164" s="7" t="n"/>
      <c r="F164" s="7" t="n"/>
    </row>
    <row r="165">
      <c r="A165" s="6" t="n"/>
      <c r="E165" s="7" t="n"/>
      <c r="F165" s="7" t="n"/>
    </row>
    <row r="166">
      <c r="A166" s="6" t="n"/>
      <c r="E166" s="7" t="n"/>
      <c r="F166" s="7" t="n"/>
    </row>
    <row r="167">
      <c r="A167" s="6" t="n"/>
      <c r="E167" s="7" t="n"/>
      <c r="F167" s="7" t="n"/>
    </row>
    <row r="168">
      <c r="A168" s="6" t="n"/>
      <c r="E168" s="7" t="n"/>
      <c r="F168" s="7" t="n"/>
    </row>
    <row r="169">
      <c r="A169" s="6" t="n"/>
      <c r="E169" s="7" t="n"/>
      <c r="F169" s="7" t="n"/>
    </row>
    <row r="170">
      <c r="A170" s="6" t="n"/>
      <c r="E170" s="7" t="n"/>
      <c r="F170" s="7" t="n"/>
    </row>
    <row r="171">
      <c r="A171" s="6" t="n"/>
      <c r="E171" s="7" t="n"/>
      <c r="F171" s="7" t="n"/>
    </row>
    <row r="172">
      <c r="A172" s="6" t="n"/>
      <c r="E172" s="7" t="n"/>
      <c r="F172" s="7" t="n"/>
    </row>
    <row r="173">
      <c r="A173" s="6" t="n"/>
      <c r="E173" s="7" t="n"/>
      <c r="F173" s="7" t="n"/>
    </row>
    <row r="174">
      <c r="A174" s="6" t="n"/>
      <c r="E174" s="7" t="n"/>
      <c r="F174" s="7" t="n"/>
    </row>
    <row r="175">
      <c r="A175" s="6" t="n"/>
      <c r="E175" s="7" t="n"/>
      <c r="F175" s="7" t="n"/>
    </row>
    <row r="176">
      <c r="A176" s="6" t="n"/>
      <c r="E176" s="7" t="n"/>
      <c r="F176" s="7" t="n"/>
    </row>
    <row r="177">
      <c r="A177" s="6" t="n"/>
      <c r="E177" s="7" t="n"/>
      <c r="F177" s="7" t="n"/>
    </row>
    <row r="178">
      <c r="A178" s="6" t="n"/>
      <c r="E178" s="7" t="n"/>
      <c r="F178" s="7" t="n"/>
    </row>
    <row r="179">
      <c r="A179" s="6" t="n"/>
      <c r="E179" s="7" t="n"/>
      <c r="F179" s="7" t="n"/>
    </row>
    <row r="180">
      <c r="A180" s="6" t="n"/>
      <c r="E180" s="7" t="n"/>
      <c r="F180" s="7" t="n"/>
    </row>
    <row r="181">
      <c r="A181" s="6" t="n"/>
      <c r="E181" s="7" t="n"/>
      <c r="F181" s="7" t="n"/>
    </row>
    <row r="182">
      <c r="A182" s="6" t="n"/>
      <c r="E182" s="7" t="n"/>
      <c r="F182" s="7" t="n"/>
    </row>
    <row r="183">
      <c r="A183" s="6" t="n"/>
      <c r="E183" s="7" t="n"/>
      <c r="F183" s="7" t="n"/>
    </row>
    <row r="184">
      <c r="A184" s="6" t="n"/>
      <c r="E184" s="7" t="n"/>
      <c r="F184" s="7" t="n"/>
    </row>
    <row r="185">
      <c r="A185" s="6" t="n"/>
      <c r="E185" s="7" t="n"/>
      <c r="F185" s="7" t="n"/>
    </row>
    <row r="186">
      <c r="A186" s="6" t="n"/>
      <c r="E186" s="7" t="n"/>
      <c r="F186" s="7" t="n"/>
    </row>
    <row r="187">
      <c r="A187" s="6" t="n"/>
      <c r="E187" s="7" t="n"/>
      <c r="F187" s="7" t="n"/>
    </row>
    <row r="188">
      <c r="A188" s="6" t="n"/>
      <c r="E188" s="7" t="n"/>
      <c r="F188" s="7" t="n"/>
    </row>
    <row r="189">
      <c r="A189" s="6" t="n"/>
      <c r="E189" s="7" t="n"/>
      <c r="F189" s="7" t="n"/>
    </row>
    <row r="190">
      <c r="A190" s="6" t="n"/>
      <c r="E190" s="7" t="n"/>
      <c r="F190" s="7" t="n"/>
    </row>
    <row r="191">
      <c r="A191" s="6" t="n"/>
      <c r="E191" s="7" t="n"/>
      <c r="F191" s="7" t="n"/>
    </row>
    <row r="192">
      <c r="A192" s="6" t="n"/>
      <c r="E192" s="7" t="n"/>
      <c r="F192" s="7" t="n"/>
    </row>
    <row r="193">
      <c r="A193" s="6" t="n"/>
      <c r="E193" s="7" t="n"/>
      <c r="F193" s="7" t="n"/>
    </row>
    <row r="194">
      <c r="A194" s="6" t="n"/>
      <c r="E194" s="7" t="n"/>
      <c r="F194" s="7" t="n"/>
    </row>
    <row r="195">
      <c r="A195" s="6" t="n"/>
      <c r="E195" s="7" t="n"/>
      <c r="F195" s="7" t="n"/>
    </row>
    <row r="196">
      <c r="A196" s="6" t="n"/>
      <c r="E196" s="7" t="n"/>
      <c r="F196" s="7" t="n"/>
    </row>
    <row r="197">
      <c r="A197" s="6" t="n"/>
      <c r="E197" s="7" t="n"/>
      <c r="F197" s="7" t="n"/>
    </row>
    <row r="198">
      <c r="A198" s="6" t="n"/>
      <c r="E198" s="7" t="n"/>
      <c r="F198" s="7" t="n"/>
    </row>
    <row r="199">
      <c r="A199" s="6" t="n"/>
      <c r="E199" s="7" t="n"/>
      <c r="F199" s="7" t="n"/>
    </row>
    <row r="200">
      <c r="A200" s="6" t="n"/>
      <c r="E200" s="7" t="n"/>
      <c r="F200" s="7" t="n"/>
    </row>
    <row r="201">
      <c r="A201" s="6" t="n"/>
      <c r="E201" s="7" t="n"/>
      <c r="F201" s="7" t="n"/>
    </row>
    <row r="202">
      <c r="A202" s="3" t="inlineStr">
        <is>
          <t>Total</t>
        </is>
      </c>
      <c r="C202" s="3">
        <f>COUNTA(A2:A201)</f>
        <v/>
      </c>
      <c r="E202" s="8">
        <f>SUM(E2:E201)</f>
        <v/>
      </c>
      <c r="F202" s="8">
        <f>SUM(F2:F201)</f>
        <v/>
      </c>
    </row>
  </sheetData>
  <autoFilter ref="A1:J201"/>
  <dataValidations count="2">
    <dataValidation sqref="C2:C201" showDropDown="0" showInputMessage="0" showErrorMessage="0" allowBlank="1" error="Pick a category from the CATEGORIES sheet." prompt="Category" type="list">
      <formula1>'CATEGORIES'!$A$2:$A$11</formula1>
    </dataValidation>
    <dataValidation sqref="G2:G201" showDropDown="0" showInputMessage="0" showErrorMessage="0" allowBlank="1" type="list">
      <formula1>"Cash,Card,Bank Transfer,Digital Wallet,Other"</formula1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rightToLeft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Year</t>
        </is>
      </c>
      <c r="B1" s="3" t="n">
        <v>2026</v>
      </c>
    </row>
    <row r="3">
      <c r="A3" s="5" t="inlineStr">
        <is>
          <t>Quarter</t>
        </is>
      </c>
      <c r="B3" s="5" t="inlineStr">
        <is>
          <t>Receipts</t>
        </is>
      </c>
      <c r="C3" s="5" t="inlineStr">
        <is>
          <t>Total Amount</t>
        </is>
      </c>
      <c r="D3" s="5" t="inlineStr">
        <is>
          <t>Total Tax</t>
        </is>
      </c>
      <c r="E3" s="5" t="inlineStr">
        <is>
          <t>Office Supplies</t>
        </is>
      </c>
      <c r="F3" s="5" t="inlineStr">
        <is>
          <t>Software &amp; Subscriptions</t>
        </is>
      </c>
      <c r="G3" s="5" t="inlineStr">
        <is>
          <t>Travel &amp; Transport</t>
        </is>
      </c>
      <c r="H3" s="5" t="inlineStr">
        <is>
          <t>Meals &amp; Client Meetings</t>
        </is>
      </c>
      <c r="I3" s="5" t="inlineStr">
        <is>
          <t>Equipment &amp; Hardware</t>
        </is>
      </c>
      <c r="J3" s="5" t="inlineStr">
        <is>
          <t>Phone &amp; Internet</t>
        </is>
      </c>
      <c r="K3" s="5" t="inlineStr">
        <is>
          <t>Professional Services</t>
        </is>
      </c>
      <c r="L3" s="5" t="inlineStr">
        <is>
          <t>Marketing &amp; Advertising</t>
        </is>
      </c>
      <c r="M3" s="5" t="inlineStr">
        <is>
          <t>Education &amp; Training</t>
        </is>
      </c>
      <c r="N3" s="5" t="inlineStr">
        <is>
          <t>Other</t>
        </is>
      </c>
    </row>
    <row r="4">
      <c r="A4" t="inlineStr">
        <is>
          <t>Q1</t>
        </is>
      </c>
      <c r="B4" s="9">
        <f>COUNTIFS('RECEIPT-LOG'!$A$2:$A$201,"&gt;="&amp;DATE($B$1,1,1),'RECEIPT-LOG'!$A$2:$A$201,"&lt;="&amp;DATE($B$1,3,31))</f>
        <v/>
      </c>
      <c r="C4" s="7">
        <f>SUMIFS('RECEIPT-LOG'!$E$2:$E$201,'RECEIPT-LOG'!$A$2:$A$201,"&gt;="&amp;DATE($B$1,1,1),'RECEIPT-LOG'!$A$2:$A$201,"&lt;="&amp;DATE($B$1,3,31))</f>
        <v/>
      </c>
      <c r="D4" s="7">
        <f>SUMIFS('RECEIPT-LOG'!$F$2:$F$201,'RECEIPT-LOG'!$A$2:$A$201,"&gt;="&amp;DATE($B$1,1,1),'RECEIPT-LOG'!$A$2:$A$201,"&lt;="&amp;DATE($B$1,3,31))</f>
        <v/>
      </c>
      <c r="E4" s="7">
        <f>SUMIFS('RECEIPT-LOG'!$E$2:$E$201,'RECEIPT-LOG'!$A$2:$A$201,"&gt;="&amp;DATE($B$1,1,1),'RECEIPT-LOG'!$A$2:$A$201,"&lt;="&amp;DATE($B$1,3,31),'RECEIPT-LOG'!$C$2:$C$201,E$3)</f>
        <v/>
      </c>
      <c r="F4" s="7">
        <f>SUMIFS('RECEIPT-LOG'!$E$2:$E$201,'RECEIPT-LOG'!$A$2:$A$201,"&gt;="&amp;DATE($B$1,1,1),'RECEIPT-LOG'!$A$2:$A$201,"&lt;="&amp;DATE($B$1,3,31),'RECEIPT-LOG'!$C$2:$C$201,F$3)</f>
        <v/>
      </c>
      <c r="G4" s="7">
        <f>SUMIFS('RECEIPT-LOG'!$E$2:$E$201,'RECEIPT-LOG'!$A$2:$A$201,"&gt;="&amp;DATE($B$1,1,1),'RECEIPT-LOG'!$A$2:$A$201,"&lt;="&amp;DATE($B$1,3,31),'RECEIPT-LOG'!$C$2:$C$201,G$3)</f>
        <v/>
      </c>
      <c r="H4" s="7">
        <f>SUMIFS('RECEIPT-LOG'!$E$2:$E$201,'RECEIPT-LOG'!$A$2:$A$201,"&gt;="&amp;DATE($B$1,1,1),'RECEIPT-LOG'!$A$2:$A$201,"&lt;="&amp;DATE($B$1,3,31),'RECEIPT-LOG'!$C$2:$C$201,H$3)</f>
        <v/>
      </c>
      <c r="I4" s="7">
        <f>SUMIFS('RECEIPT-LOG'!$E$2:$E$201,'RECEIPT-LOG'!$A$2:$A$201,"&gt;="&amp;DATE($B$1,1,1),'RECEIPT-LOG'!$A$2:$A$201,"&lt;="&amp;DATE($B$1,3,31),'RECEIPT-LOG'!$C$2:$C$201,I$3)</f>
        <v/>
      </c>
      <c r="J4" s="7">
        <f>SUMIFS('RECEIPT-LOG'!$E$2:$E$201,'RECEIPT-LOG'!$A$2:$A$201,"&gt;="&amp;DATE($B$1,1,1),'RECEIPT-LOG'!$A$2:$A$201,"&lt;="&amp;DATE($B$1,3,31),'RECEIPT-LOG'!$C$2:$C$201,J$3)</f>
        <v/>
      </c>
      <c r="K4" s="7">
        <f>SUMIFS('RECEIPT-LOG'!$E$2:$E$201,'RECEIPT-LOG'!$A$2:$A$201,"&gt;="&amp;DATE($B$1,1,1),'RECEIPT-LOG'!$A$2:$A$201,"&lt;="&amp;DATE($B$1,3,31),'RECEIPT-LOG'!$C$2:$C$201,K$3)</f>
        <v/>
      </c>
      <c r="L4" s="7">
        <f>SUMIFS('RECEIPT-LOG'!$E$2:$E$201,'RECEIPT-LOG'!$A$2:$A$201,"&gt;="&amp;DATE($B$1,1,1),'RECEIPT-LOG'!$A$2:$A$201,"&lt;="&amp;DATE($B$1,3,31),'RECEIPT-LOG'!$C$2:$C$201,L$3)</f>
        <v/>
      </c>
      <c r="M4" s="7">
        <f>SUMIFS('RECEIPT-LOG'!$E$2:$E$201,'RECEIPT-LOG'!$A$2:$A$201,"&gt;="&amp;DATE($B$1,1,1),'RECEIPT-LOG'!$A$2:$A$201,"&lt;="&amp;DATE($B$1,3,31),'RECEIPT-LOG'!$C$2:$C$201,M$3)</f>
        <v/>
      </c>
      <c r="N4" s="7">
        <f>SUMIFS('RECEIPT-LOG'!$E$2:$E$201,'RECEIPT-LOG'!$A$2:$A$201,"&gt;="&amp;DATE($B$1,1,1),'RECEIPT-LOG'!$A$2:$A$201,"&lt;="&amp;DATE($B$1,3,31),'RECEIPT-LOG'!$C$2:$C$201,N$3)</f>
        <v/>
      </c>
    </row>
    <row r="5">
      <c r="A5" t="inlineStr">
        <is>
          <t>Q2</t>
        </is>
      </c>
      <c r="B5" s="9">
        <f>COUNTIFS('RECEIPT-LOG'!$A$2:$A$201,"&gt;="&amp;DATE($B$1,4,1),'RECEIPT-LOG'!$A$2:$A$201,"&lt;="&amp;DATE($B$1,6,30))</f>
        <v/>
      </c>
      <c r="C5" s="7">
        <f>SUMIFS('RECEIPT-LOG'!$E$2:$E$201,'RECEIPT-LOG'!$A$2:$A$201,"&gt;="&amp;DATE($B$1,4,1),'RECEIPT-LOG'!$A$2:$A$201,"&lt;="&amp;DATE($B$1,6,30))</f>
        <v/>
      </c>
      <c r="D5" s="7">
        <f>SUMIFS('RECEIPT-LOG'!$F$2:$F$201,'RECEIPT-LOG'!$A$2:$A$201,"&gt;="&amp;DATE($B$1,4,1),'RECEIPT-LOG'!$A$2:$A$201,"&lt;="&amp;DATE($B$1,6,30))</f>
        <v/>
      </c>
      <c r="E5" s="7">
        <f>SUMIFS('RECEIPT-LOG'!$E$2:$E$201,'RECEIPT-LOG'!$A$2:$A$201,"&gt;="&amp;DATE($B$1,4,1),'RECEIPT-LOG'!$A$2:$A$201,"&lt;="&amp;DATE($B$1,6,30),'RECEIPT-LOG'!$C$2:$C$201,E$3)</f>
        <v/>
      </c>
      <c r="F5" s="7">
        <f>SUMIFS('RECEIPT-LOG'!$E$2:$E$201,'RECEIPT-LOG'!$A$2:$A$201,"&gt;="&amp;DATE($B$1,4,1),'RECEIPT-LOG'!$A$2:$A$201,"&lt;="&amp;DATE($B$1,6,30),'RECEIPT-LOG'!$C$2:$C$201,F$3)</f>
        <v/>
      </c>
      <c r="G5" s="7">
        <f>SUMIFS('RECEIPT-LOG'!$E$2:$E$201,'RECEIPT-LOG'!$A$2:$A$201,"&gt;="&amp;DATE($B$1,4,1),'RECEIPT-LOG'!$A$2:$A$201,"&lt;="&amp;DATE($B$1,6,30),'RECEIPT-LOG'!$C$2:$C$201,G$3)</f>
        <v/>
      </c>
      <c r="H5" s="7">
        <f>SUMIFS('RECEIPT-LOG'!$E$2:$E$201,'RECEIPT-LOG'!$A$2:$A$201,"&gt;="&amp;DATE($B$1,4,1),'RECEIPT-LOG'!$A$2:$A$201,"&lt;="&amp;DATE($B$1,6,30),'RECEIPT-LOG'!$C$2:$C$201,H$3)</f>
        <v/>
      </c>
      <c r="I5" s="7">
        <f>SUMIFS('RECEIPT-LOG'!$E$2:$E$201,'RECEIPT-LOG'!$A$2:$A$201,"&gt;="&amp;DATE($B$1,4,1),'RECEIPT-LOG'!$A$2:$A$201,"&lt;="&amp;DATE($B$1,6,30),'RECEIPT-LOG'!$C$2:$C$201,I$3)</f>
        <v/>
      </c>
      <c r="J5" s="7">
        <f>SUMIFS('RECEIPT-LOG'!$E$2:$E$201,'RECEIPT-LOG'!$A$2:$A$201,"&gt;="&amp;DATE($B$1,4,1),'RECEIPT-LOG'!$A$2:$A$201,"&lt;="&amp;DATE($B$1,6,30),'RECEIPT-LOG'!$C$2:$C$201,J$3)</f>
        <v/>
      </c>
      <c r="K5" s="7">
        <f>SUMIFS('RECEIPT-LOG'!$E$2:$E$201,'RECEIPT-LOG'!$A$2:$A$201,"&gt;="&amp;DATE($B$1,4,1),'RECEIPT-LOG'!$A$2:$A$201,"&lt;="&amp;DATE($B$1,6,30),'RECEIPT-LOG'!$C$2:$C$201,K$3)</f>
        <v/>
      </c>
      <c r="L5" s="7">
        <f>SUMIFS('RECEIPT-LOG'!$E$2:$E$201,'RECEIPT-LOG'!$A$2:$A$201,"&gt;="&amp;DATE($B$1,4,1),'RECEIPT-LOG'!$A$2:$A$201,"&lt;="&amp;DATE($B$1,6,30),'RECEIPT-LOG'!$C$2:$C$201,L$3)</f>
        <v/>
      </c>
      <c r="M5" s="7">
        <f>SUMIFS('RECEIPT-LOG'!$E$2:$E$201,'RECEIPT-LOG'!$A$2:$A$201,"&gt;="&amp;DATE($B$1,4,1),'RECEIPT-LOG'!$A$2:$A$201,"&lt;="&amp;DATE($B$1,6,30),'RECEIPT-LOG'!$C$2:$C$201,M$3)</f>
        <v/>
      </c>
      <c r="N5" s="7">
        <f>SUMIFS('RECEIPT-LOG'!$E$2:$E$201,'RECEIPT-LOG'!$A$2:$A$201,"&gt;="&amp;DATE($B$1,4,1),'RECEIPT-LOG'!$A$2:$A$201,"&lt;="&amp;DATE($B$1,6,30),'RECEIPT-LOG'!$C$2:$C$201,N$3)</f>
        <v/>
      </c>
    </row>
    <row r="6">
      <c r="A6" t="inlineStr">
        <is>
          <t>Q3</t>
        </is>
      </c>
      <c r="B6" s="9">
        <f>COUNTIFS('RECEIPT-LOG'!$A$2:$A$201,"&gt;="&amp;DATE($B$1,7,1),'RECEIPT-LOG'!$A$2:$A$201,"&lt;="&amp;DATE($B$1,9,30))</f>
        <v/>
      </c>
      <c r="C6" s="7">
        <f>SUMIFS('RECEIPT-LOG'!$E$2:$E$201,'RECEIPT-LOG'!$A$2:$A$201,"&gt;="&amp;DATE($B$1,7,1),'RECEIPT-LOG'!$A$2:$A$201,"&lt;="&amp;DATE($B$1,9,30))</f>
        <v/>
      </c>
      <c r="D6" s="7">
        <f>SUMIFS('RECEIPT-LOG'!$F$2:$F$201,'RECEIPT-LOG'!$A$2:$A$201,"&gt;="&amp;DATE($B$1,7,1),'RECEIPT-LOG'!$A$2:$A$201,"&lt;="&amp;DATE($B$1,9,30))</f>
        <v/>
      </c>
      <c r="E6" s="7">
        <f>SUMIFS('RECEIPT-LOG'!$E$2:$E$201,'RECEIPT-LOG'!$A$2:$A$201,"&gt;="&amp;DATE($B$1,7,1),'RECEIPT-LOG'!$A$2:$A$201,"&lt;="&amp;DATE($B$1,9,30),'RECEIPT-LOG'!$C$2:$C$201,E$3)</f>
        <v/>
      </c>
      <c r="F6" s="7">
        <f>SUMIFS('RECEIPT-LOG'!$E$2:$E$201,'RECEIPT-LOG'!$A$2:$A$201,"&gt;="&amp;DATE($B$1,7,1),'RECEIPT-LOG'!$A$2:$A$201,"&lt;="&amp;DATE($B$1,9,30),'RECEIPT-LOG'!$C$2:$C$201,F$3)</f>
        <v/>
      </c>
      <c r="G6" s="7">
        <f>SUMIFS('RECEIPT-LOG'!$E$2:$E$201,'RECEIPT-LOG'!$A$2:$A$201,"&gt;="&amp;DATE($B$1,7,1),'RECEIPT-LOG'!$A$2:$A$201,"&lt;="&amp;DATE($B$1,9,30),'RECEIPT-LOG'!$C$2:$C$201,G$3)</f>
        <v/>
      </c>
      <c r="H6" s="7">
        <f>SUMIFS('RECEIPT-LOG'!$E$2:$E$201,'RECEIPT-LOG'!$A$2:$A$201,"&gt;="&amp;DATE($B$1,7,1),'RECEIPT-LOG'!$A$2:$A$201,"&lt;="&amp;DATE($B$1,9,30),'RECEIPT-LOG'!$C$2:$C$201,H$3)</f>
        <v/>
      </c>
      <c r="I6" s="7">
        <f>SUMIFS('RECEIPT-LOG'!$E$2:$E$201,'RECEIPT-LOG'!$A$2:$A$201,"&gt;="&amp;DATE($B$1,7,1),'RECEIPT-LOG'!$A$2:$A$201,"&lt;="&amp;DATE($B$1,9,30),'RECEIPT-LOG'!$C$2:$C$201,I$3)</f>
        <v/>
      </c>
      <c r="J6" s="7">
        <f>SUMIFS('RECEIPT-LOG'!$E$2:$E$201,'RECEIPT-LOG'!$A$2:$A$201,"&gt;="&amp;DATE($B$1,7,1),'RECEIPT-LOG'!$A$2:$A$201,"&lt;="&amp;DATE($B$1,9,30),'RECEIPT-LOG'!$C$2:$C$201,J$3)</f>
        <v/>
      </c>
      <c r="K6" s="7">
        <f>SUMIFS('RECEIPT-LOG'!$E$2:$E$201,'RECEIPT-LOG'!$A$2:$A$201,"&gt;="&amp;DATE($B$1,7,1),'RECEIPT-LOG'!$A$2:$A$201,"&lt;="&amp;DATE($B$1,9,30),'RECEIPT-LOG'!$C$2:$C$201,K$3)</f>
        <v/>
      </c>
      <c r="L6" s="7">
        <f>SUMIFS('RECEIPT-LOG'!$E$2:$E$201,'RECEIPT-LOG'!$A$2:$A$201,"&gt;="&amp;DATE($B$1,7,1),'RECEIPT-LOG'!$A$2:$A$201,"&lt;="&amp;DATE($B$1,9,30),'RECEIPT-LOG'!$C$2:$C$201,L$3)</f>
        <v/>
      </c>
      <c r="M6" s="7">
        <f>SUMIFS('RECEIPT-LOG'!$E$2:$E$201,'RECEIPT-LOG'!$A$2:$A$201,"&gt;="&amp;DATE($B$1,7,1),'RECEIPT-LOG'!$A$2:$A$201,"&lt;="&amp;DATE($B$1,9,30),'RECEIPT-LOG'!$C$2:$C$201,M$3)</f>
        <v/>
      </c>
      <c r="N6" s="7">
        <f>SUMIFS('RECEIPT-LOG'!$E$2:$E$201,'RECEIPT-LOG'!$A$2:$A$201,"&gt;="&amp;DATE($B$1,7,1),'RECEIPT-LOG'!$A$2:$A$201,"&lt;="&amp;DATE($B$1,9,30),'RECEIPT-LOG'!$C$2:$C$201,N$3)</f>
        <v/>
      </c>
    </row>
    <row r="7">
      <c r="A7" t="inlineStr">
        <is>
          <t>Q4</t>
        </is>
      </c>
      <c r="B7" s="9">
        <f>COUNTIFS('RECEIPT-LOG'!$A$2:$A$201,"&gt;="&amp;DATE($B$1,10,1),'RECEIPT-LOG'!$A$2:$A$201,"&lt;="&amp;DATE($B$1,12,31))</f>
        <v/>
      </c>
      <c r="C7" s="7">
        <f>SUMIFS('RECEIPT-LOG'!$E$2:$E$201,'RECEIPT-LOG'!$A$2:$A$201,"&gt;="&amp;DATE($B$1,10,1),'RECEIPT-LOG'!$A$2:$A$201,"&lt;="&amp;DATE($B$1,12,31))</f>
        <v/>
      </c>
      <c r="D7" s="7">
        <f>SUMIFS('RECEIPT-LOG'!$F$2:$F$201,'RECEIPT-LOG'!$A$2:$A$201,"&gt;="&amp;DATE($B$1,10,1),'RECEIPT-LOG'!$A$2:$A$201,"&lt;="&amp;DATE($B$1,12,31))</f>
        <v/>
      </c>
      <c r="E7" s="7">
        <f>SUMIFS('RECEIPT-LOG'!$E$2:$E$201,'RECEIPT-LOG'!$A$2:$A$201,"&gt;="&amp;DATE($B$1,10,1),'RECEIPT-LOG'!$A$2:$A$201,"&lt;="&amp;DATE($B$1,12,31),'RECEIPT-LOG'!$C$2:$C$201,E$3)</f>
        <v/>
      </c>
      <c r="F7" s="7">
        <f>SUMIFS('RECEIPT-LOG'!$E$2:$E$201,'RECEIPT-LOG'!$A$2:$A$201,"&gt;="&amp;DATE($B$1,10,1),'RECEIPT-LOG'!$A$2:$A$201,"&lt;="&amp;DATE($B$1,12,31),'RECEIPT-LOG'!$C$2:$C$201,F$3)</f>
        <v/>
      </c>
      <c r="G7" s="7">
        <f>SUMIFS('RECEIPT-LOG'!$E$2:$E$201,'RECEIPT-LOG'!$A$2:$A$201,"&gt;="&amp;DATE($B$1,10,1),'RECEIPT-LOG'!$A$2:$A$201,"&lt;="&amp;DATE($B$1,12,31),'RECEIPT-LOG'!$C$2:$C$201,G$3)</f>
        <v/>
      </c>
      <c r="H7" s="7">
        <f>SUMIFS('RECEIPT-LOG'!$E$2:$E$201,'RECEIPT-LOG'!$A$2:$A$201,"&gt;="&amp;DATE($B$1,10,1),'RECEIPT-LOG'!$A$2:$A$201,"&lt;="&amp;DATE($B$1,12,31),'RECEIPT-LOG'!$C$2:$C$201,H$3)</f>
        <v/>
      </c>
      <c r="I7" s="7">
        <f>SUMIFS('RECEIPT-LOG'!$E$2:$E$201,'RECEIPT-LOG'!$A$2:$A$201,"&gt;="&amp;DATE($B$1,10,1),'RECEIPT-LOG'!$A$2:$A$201,"&lt;="&amp;DATE($B$1,12,31),'RECEIPT-LOG'!$C$2:$C$201,I$3)</f>
        <v/>
      </c>
      <c r="J7" s="7">
        <f>SUMIFS('RECEIPT-LOG'!$E$2:$E$201,'RECEIPT-LOG'!$A$2:$A$201,"&gt;="&amp;DATE($B$1,10,1),'RECEIPT-LOG'!$A$2:$A$201,"&lt;="&amp;DATE($B$1,12,31),'RECEIPT-LOG'!$C$2:$C$201,J$3)</f>
        <v/>
      </c>
      <c r="K7" s="7">
        <f>SUMIFS('RECEIPT-LOG'!$E$2:$E$201,'RECEIPT-LOG'!$A$2:$A$201,"&gt;="&amp;DATE($B$1,10,1),'RECEIPT-LOG'!$A$2:$A$201,"&lt;="&amp;DATE($B$1,12,31),'RECEIPT-LOG'!$C$2:$C$201,K$3)</f>
        <v/>
      </c>
      <c r="L7" s="7">
        <f>SUMIFS('RECEIPT-LOG'!$E$2:$E$201,'RECEIPT-LOG'!$A$2:$A$201,"&gt;="&amp;DATE($B$1,10,1),'RECEIPT-LOG'!$A$2:$A$201,"&lt;="&amp;DATE($B$1,12,31),'RECEIPT-LOG'!$C$2:$C$201,L$3)</f>
        <v/>
      </c>
      <c r="M7" s="7">
        <f>SUMIFS('RECEIPT-LOG'!$E$2:$E$201,'RECEIPT-LOG'!$A$2:$A$201,"&gt;="&amp;DATE($B$1,10,1),'RECEIPT-LOG'!$A$2:$A$201,"&lt;="&amp;DATE($B$1,12,31),'RECEIPT-LOG'!$C$2:$C$201,M$3)</f>
        <v/>
      </c>
      <c r="N7" s="7">
        <f>SUMIFS('RECEIPT-LOG'!$E$2:$E$201,'RECEIPT-LOG'!$A$2:$A$201,"&gt;="&amp;DATE($B$1,10,1),'RECEIPT-LOG'!$A$2:$A$201,"&lt;="&amp;DATE($B$1,12,31),'RECEIPT-LOG'!$C$2:$C$201,N$3)</f>
        <v/>
      </c>
    </row>
    <row r="8">
      <c r="A8" s="3" t="inlineStr">
        <is>
          <t>Total</t>
        </is>
      </c>
      <c r="B8" s="10">
        <f>SUM(B4:B7)</f>
        <v/>
      </c>
      <c r="C8" s="8">
        <f>SUM(C4:C7)</f>
        <v/>
      </c>
      <c r="D8" s="8">
        <f>SUM(D4:D7)</f>
        <v/>
      </c>
      <c r="E8" s="8">
        <f>SUM(E4:E7)</f>
        <v/>
      </c>
      <c r="F8" s="8">
        <f>SUM(F4:F7)</f>
        <v/>
      </c>
      <c r="G8" s="8">
        <f>SUM(G4:G7)</f>
        <v/>
      </c>
      <c r="H8" s="8">
        <f>SUM(H4:H7)</f>
        <v/>
      </c>
      <c r="I8" s="8">
        <f>SUM(I4:I7)</f>
        <v/>
      </c>
      <c r="J8" s="8">
        <f>SUM(J4:J7)</f>
        <v/>
      </c>
      <c r="K8" s="8">
        <f>SUM(K4:K7)</f>
        <v/>
      </c>
      <c r="L8" s="8">
        <f>SUM(L4:L7)</f>
        <v/>
      </c>
      <c r="M8" s="8">
        <f>SUM(M4:M7)</f>
        <v/>
      </c>
      <c r="N8" s="8">
        <f>SUM(N4:N7)</f>
        <v/>
      </c>
    </row>
  </sheetData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rightToLeft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>
      <c r="A1" t="inlineStr">
        <is>
          <t>Year</t>
        </is>
      </c>
      <c r="B1" s="3">
        <f>'QUARTER-SUMMARY'!B1</f>
        <v/>
      </c>
    </row>
    <row r="3">
      <c r="A3" s="5" t="inlineStr">
        <is>
          <t>Category</t>
        </is>
      </c>
      <c r="B3" s="5" t="inlineStr">
        <is>
          <t>Annual Total</t>
        </is>
      </c>
      <c r="C3" s="5" t="inlineStr">
        <is>
          <t>Receipts</t>
        </is>
      </c>
    </row>
    <row r="4">
      <c r="A4" t="inlineStr">
        <is>
          <t>Office Supplies</t>
        </is>
      </c>
      <c r="B4" s="7">
        <f>SUMIFS('RECEIPT-LOG'!$E$2:$E$201,'RECEIPT-LOG'!$A$2:$A$201,"&gt;="&amp;DATE($B$1,1,1),'RECEIPT-LOG'!$A$2:$A$201,"&lt;="&amp;DATE($B$1,12,31),'RECEIPT-LOG'!$C$2:$C$201,$A4)</f>
        <v/>
      </c>
      <c r="C4">
        <f>COUNTIFS('RECEIPT-LOG'!$A$2:$A$201,"&gt;="&amp;DATE($B$1,1,1),'RECEIPT-LOG'!$A$2:$A$201,"&lt;="&amp;DATE($B$1,12,31),'RECEIPT-LOG'!$C$2:$C$201,$A4)</f>
        <v/>
      </c>
    </row>
    <row r="5">
      <c r="A5" t="inlineStr">
        <is>
          <t>Software &amp; Subscriptions</t>
        </is>
      </c>
      <c r="B5" s="7">
        <f>SUMIFS('RECEIPT-LOG'!$E$2:$E$201,'RECEIPT-LOG'!$A$2:$A$201,"&gt;="&amp;DATE($B$1,1,1),'RECEIPT-LOG'!$A$2:$A$201,"&lt;="&amp;DATE($B$1,12,31),'RECEIPT-LOG'!$C$2:$C$201,$A5)</f>
        <v/>
      </c>
      <c r="C5">
        <f>COUNTIFS('RECEIPT-LOG'!$A$2:$A$201,"&gt;="&amp;DATE($B$1,1,1),'RECEIPT-LOG'!$A$2:$A$201,"&lt;="&amp;DATE($B$1,12,31),'RECEIPT-LOG'!$C$2:$C$201,$A5)</f>
        <v/>
      </c>
    </row>
    <row r="6">
      <c r="A6" t="inlineStr">
        <is>
          <t>Travel &amp; Transport</t>
        </is>
      </c>
      <c r="B6" s="7">
        <f>SUMIFS('RECEIPT-LOG'!$E$2:$E$201,'RECEIPT-LOG'!$A$2:$A$201,"&gt;="&amp;DATE($B$1,1,1),'RECEIPT-LOG'!$A$2:$A$201,"&lt;="&amp;DATE($B$1,12,31),'RECEIPT-LOG'!$C$2:$C$201,$A6)</f>
        <v/>
      </c>
      <c r="C6">
        <f>COUNTIFS('RECEIPT-LOG'!$A$2:$A$201,"&gt;="&amp;DATE($B$1,1,1),'RECEIPT-LOG'!$A$2:$A$201,"&lt;="&amp;DATE($B$1,12,31),'RECEIPT-LOG'!$C$2:$C$201,$A6)</f>
        <v/>
      </c>
    </row>
    <row r="7">
      <c r="A7" t="inlineStr">
        <is>
          <t>Meals &amp; Client Meetings</t>
        </is>
      </c>
      <c r="B7" s="7">
        <f>SUMIFS('RECEIPT-LOG'!$E$2:$E$201,'RECEIPT-LOG'!$A$2:$A$201,"&gt;="&amp;DATE($B$1,1,1),'RECEIPT-LOG'!$A$2:$A$201,"&lt;="&amp;DATE($B$1,12,31),'RECEIPT-LOG'!$C$2:$C$201,$A7)</f>
        <v/>
      </c>
      <c r="C7">
        <f>COUNTIFS('RECEIPT-LOG'!$A$2:$A$201,"&gt;="&amp;DATE($B$1,1,1),'RECEIPT-LOG'!$A$2:$A$201,"&lt;="&amp;DATE($B$1,12,31),'RECEIPT-LOG'!$C$2:$C$201,$A7)</f>
        <v/>
      </c>
    </row>
    <row r="8">
      <c r="A8" t="inlineStr">
        <is>
          <t>Equipment &amp; Hardware</t>
        </is>
      </c>
      <c r="B8" s="7">
        <f>SUMIFS('RECEIPT-LOG'!$E$2:$E$201,'RECEIPT-LOG'!$A$2:$A$201,"&gt;="&amp;DATE($B$1,1,1),'RECEIPT-LOG'!$A$2:$A$201,"&lt;="&amp;DATE($B$1,12,31),'RECEIPT-LOG'!$C$2:$C$201,$A8)</f>
        <v/>
      </c>
      <c r="C8">
        <f>COUNTIFS('RECEIPT-LOG'!$A$2:$A$201,"&gt;="&amp;DATE($B$1,1,1),'RECEIPT-LOG'!$A$2:$A$201,"&lt;="&amp;DATE($B$1,12,31),'RECEIPT-LOG'!$C$2:$C$201,$A8)</f>
        <v/>
      </c>
    </row>
    <row r="9">
      <c r="A9" t="inlineStr">
        <is>
          <t>Phone &amp; Internet</t>
        </is>
      </c>
      <c r="B9" s="7">
        <f>SUMIFS('RECEIPT-LOG'!$E$2:$E$201,'RECEIPT-LOG'!$A$2:$A$201,"&gt;="&amp;DATE($B$1,1,1),'RECEIPT-LOG'!$A$2:$A$201,"&lt;="&amp;DATE($B$1,12,31),'RECEIPT-LOG'!$C$2:$C$201,$A9)</f>
        <v/>
      </c>
      <c r="C9">
        <f>COUNTIFS('RECEIPT-LOG'!$A$2:$A$201,"&gt;="&amp;DATE($B$1,1,1),'RECEIPT-LOG'!$A$2:$A$201,"&lt;="&amp;DATE($B$1,12,31),'RECEIPT-LOG'!$C$2:$C$201,$A9)</f>
        <v/>
      </c>
    </row>
    <row r="10">
      <c r="A10" t="inlineStr">
        <is>
          <t>Professional Services</t>
        </is>
      </c>
      <c r="B10" s="7">
        <f>SUMIFS('RECEIPT-LOG'!$E$2:$E$201,'RECEIPT-LOG'!$A$2:$A$201,"&gt;="&amp;DATE($B$1,1,1),'RECEIPT-LOG'!$A$2:$A$201,"&lt;="&amp;DATE($B$1,12,31),'RECEIPT-LOG'!$C$2:$C$201,$A10)</f>
        <v/>
      </c>
      <c r="C10">
        <f>COUNTIFS('RECEIPT-LOG'!$A$2:$A$201,"&gt;="&amp;DATE($B$1,1,1),'RECEIPT-LOG'!$A$2:$A$201,"&lt;="&amp;DATE($B$1,12,31),'RECEIPT-LOG'!$C$2:$C$201,$A10)</f>
        <v/>
      </c>
    </row>
    <row r="11">
      <c r="A11" t="inlineStr">
        <is>
          <t>Marketing &amp; Advertising</t>
        </is>
      </c>
      <c r="B11" s="7">
        <f>SUMIFS('RECEIPT-LOG'!$E$2:$E$201,'RECEIPT-LOG'!$A$2:$A$201,"&gt;="&amp;DATE($B$1,1,1),'RECEIPT-LOG'!$A$2:$A$201,"&lt;="&amp;DATE($B$1,12,31),'RECEIPT-LOG'!$C$2:$C$201,$A11)</f>
        <v/>
      </c>
      <c r="C11">
        <f>COUNTIFS('RECEIPT-LOG'!$A$2:$A$201,"&gt;="&amp;DATE($B$1,1,1),'RECEIPT-LOG'!$A$2:$A$201,"&lt;="&amp;DATE($B$1,12,31),'RECEIPT-LOG'!$C$2:$C$201,$A11)</f>
        <v/>
      </c>
    </row>
    <row r="12">
      <c r="A12" t="inlineStr">
        <is>
          <t>Education &amp; Training</t>
        </is>
      </c>
      <c r="B12" s="7">
        <f>SUMIFS('RECEIPT-LOG'!$E$2:$E$201,'RECEIPT-LOG'!$A$2:$A$201,"&gt;="&amp;DATE($B$1,1,1),'RECEIPT-LOG'!$A$2:$A$201,"&lt;="&amp;DATE($B$1,12,31),'RECEIPT-LOG'!$C$2:$C$201,$A12)</f>
        <v/>
      </c>
      <c r="C12">
        <f>COUNTIFS('RECEIPT-LOG'!$A$2:$A$201,"&gt;="&amp;DATE($B$1,1,1),'RECEIPT-LOG'!$A$2:$A$201,"&lt;="&amp;DATE($B$1,12,31),'RECEIPT-LOG'!$C$2:$C$201,$A12)</f>
        <v/>
      </c>
    </row>
    <row r="13">
      <c r="A13" t="inlineStr">
        <is>
          <t>Other</t>
        </is>
      </c>
      <c r="B13" s="7">
        <f>SUMIFS('RECEIPT-LOG'!$E$2:$E$201,'RECEIPT-LOG'!$A$2:$A$201,"&gt;="&amp;DATE($B$1,1,1),'RECEIPT-LOG'!$A$2:$A$201,"&lt;="&amp;DATE($B$1,12,31),'RECEIPT-LOG'!$C$2:$C$201,$A13)</f>
        <v/>
      </c>
      <c r="C13">
        <f>COUNTIFS('RECEIPT-LOG'!$A$2:$A$201,"&gt;="&amp;DATE($B$1,1,1),'RECEIPT-LOG'!$A$2:$A$201,"&lt;="&amp;DATE($B$1,12,31),'RECEIPT-LOG'!$C$2:$C$201,$A13)</f>
        <v/>
      </c>
    </row>
    <row r="14">
      <c r="A14" s="3" t="inlineStr">
        <is>
          <t>Total</t>
        </is>
      </c>
      <c r="B14" s="8">
        <f>SUM(B4:B13)</f>
        <v/>
      </c>
      <c r="C14" s="10">
        <f>SUM(C4:C13)</f>
        <v/>
      </c>
    </row>
    <row r="16">
      <c r="A16" s="3" t="inlineStr">
        <is>
          <t>Receipts</t>
        </is>
      </c>
      <c r="B16" s="9">
        <f>'QUARTER-SUMMARY'!B8</f>
        <v/>
      </c>
    </row>
    <row r="17">
      <c r="A17" s="3" t="inlineStr">
        <is>
          <t>Total Amount</t>
        </is>
      </c>
      <c r="B17" s="7">
        <f>'QUARTER-SUMMARY'!C8</f>
        <v/>
      </c>
    </row>
    <row r="18">
      <c r="A18" s="3" t="inlineStr">
        <is>
          <t>Total Tax</t>
        </is>
      </c>
      <c r="B18" s="7">
        <f>'QUARTER-SUMMARY'!D8</f>
        <v/>
      </c>
    </row>
    <row r="19">
      <c r="A19" s="3" t="inlineStr">
        <is>
          <t>Average Receipt</t>
        </is>
      </c>
      <c r="B19" s="7">
        <f>IF(B16=0,0,B17/B16)</f>
        <v/>
      </c>
    </row>
    <row r="20">
      <c r="A20" s="3" t="inlineStr">
        <is>
          <t>Largest Receipt</t>
        </is>
      </c>
      <c r="B20" s="7">
        <f>MAX('RECEIPT-LOG'!E2:E201)</f>
        <v/>
      </c>
    </row>
    <row r="21">
      <c r="A21" s="3" t="inlineStr">
        <is>
          <t>Receipts with File</t>
        </is>
      </c>
      <c r="B21" s="9">
        <f>COUNTIF('RECEIPT-LOG'!I2:I201,"&lt;&gt;")</f>
        <v/>
      </c>
    </row>
    <row r="22">
      <c r="A22" s="3" t="inlineStr">
        <is>
          <t>Receipts Missing File</t>
        </is>
      </c>
      <c r="B22" s="9">
        <f>B16-B21</f>
        <v/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2026-10-18T19:01:34+00:00Z</dcterms:created>
  <dcterms:modified xmlns:dcterms="http://purl.org/dc/terms/" xmlns:xsi="http://www.w3.org/2001/XMLSchema-instance" xsi:type="dcterms:W3CDTF">2026-10-18T19:01:34+00:00Z</dcterms:modified>
</cp:coreProperties>
</file>